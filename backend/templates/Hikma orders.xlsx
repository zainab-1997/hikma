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394201FD-F4A7-274E-8DCB-38B2584025E5}" xr6:coauthVersionLast="47" xr6:coauthVersionMax="47" xr10:uidLastSave="{00000000-0000-0000-0000-000000000000}"/>
  <bookViews>
    <workbookView xWindow="-110" yWindow="-110" windowWidth="19420" windowHeight="11020" xr2:uid="{EF96367F-393A-4FF4-B39C-9540D548F6AD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/>
  <c r="G5" i="1"/>
  <c r="G6" i="1"/>
  <c r="G7" i="1"/>
  <c r="G8" i="1"/>
  <c r="G9" i="1"/>
  <c r="G10" i="1"/>
  <c r="G11" i="1"/>
  <c r="G12" i="1"/>
  <c r="G13" i="1"/>
  <c r="G14" i="1"/>
  <c r="F4" i="1"/>
  <c r="F5" i="1"/>
  <c r="F6" i="1"/>
  <c r="F7" i="1"/>
  <c r="F8" i="1"/>
  <c r="F9" i="1"/>
  <c r="F10" i="1"/>
  <c r="F11" i="1"/>
  <c r="F12" i="1"/>
  <c r="F13" i="1"/>
  <c r="F14" i="1"/>
  <c r="F3" i="1"/>
  <c r="G3" i="1"/>
  <c r="G15" i="1"/>
  <c r="F15" i="1"/>
</calcChain>
</file>

<file path=xl/sharedStrings.xml><?xml version="1.0" encoding="utf-8"?>
<sst xmlns="http://schemas.openxmlformats.org/spreadsheetml/2006/main" count="21" uniqueCount="21">
  <si>
    <t>Qty</t>
  </si>
  <si>
    <t>Value</t>
  </si>
  <si>
    <t>FQty</t>
  </si>
  <si>
    <t>اسم الزبون</t>
  </si>
  <si>
    <t>Product name</t>
  </si>
  <si>
    <t xml:space="preserve">ATACURE 50 MG / 5 ML (ATRACURIUM BESILATE) </t>
  </si>
  <si>
    <t>CLOPRAM 10MG/2ML AMP ( METOCLOPRAMIDE AMP )</t>
  </si>
  <si>
    <t xml:space="preserve">FLORAN 100% INHAL SOLUTION 100 ML </t>
  </si>
  <si>
    <t>Hikma Midazolam 15MG/3ML IV/IM,5 AMP</t>
  </si>
  <si>
    <t xml:space="preserve">NEXUS (ESMOPRAZOLE 40 MG IV VIAL) </t>
  </si>
  <si>
    <t>SETRON 4MG/2ML IV AMP 5'S O</t>
  </si>
  <si>
    <t xml:space="preserve">TEKAM 50MG 10ML  (KETAMINE) </t>
  </si>
  <si>
    <t>VANCO 1G IV INFU VIALS ( VANCOMYCIN 1G IV )</t>
  </si>
  <si>
    <t>VANCO 500MG IV INFU VIALS 1's</t>
  </si>
  <si>
    <t>SETRON 8MG/4ML IV AMP 5'S O</t>
  </si>
  <si>
    <t xml:space="preserve"> price (Drug Store)</t>
  </si>
  <si>
    <t xml:space="preserve"> price (Pharmacy &amp; Hospitals)</t>
  </si>
  <si>
    <t xml:space="preserve">Value </t>
  </si>
  <si>
    <t xml:space="preserve">Note </t>
  </si>
  <si>
    <t>CIPROLON 200MG/100ML IV INFU VIALS</t>
  </si>
  <si>
    <t>Levofloxacin Hikma 500mg/100ml IV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</si>
</sst>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* #,##0\ [$د.ع.‏-801]_-;\-* #,##0\ [$د.ع.‏-801]_-;_-* &quot;-&quot;??\ [$د.ع.‏-801]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3" tint="-0.249977111117893"/>
      <name val="Calibri"/>
      <family val="2"/>
      <scheme val="minor"/>
    </font>
    <font>
      <sz val="9"/>
      <color theme="1"/>
      <name val="Calibri"/>
      <family val="2"/>
    </font>
    <font>
      <sz val="9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9"/>
      <color rgb="FF333F4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rgb="FF0000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0">
    <xf numFmtId="0" fontId="0" fillId="0" borderId="0" xfId="0"/>
    <xf numFmtId="0" fontId="6" fillId="0" borderId="0" xfId="0" applyFont="1"/>
    <xf numFmtId="164" fontId="6" fillId="0" borderId="0" xfId="1" applyNumberFormat="1" applyFont="1"/>
    <xf numFmtId="164" fontId="0" fillId="0" borderId="0" xfId="1" applyNumberFormat="1" applyFont="1"/>
    <xf numFmtId="164" fontId="2" fillId="2" borderId="1" xfId="1" applyNumberFormat="1" applyFont="1" applyFill="1" applyBorder="1"/>
    <xf numFmtId="0" fontId="3" fillId="3" borderId="1" xfId="0" applyFont="1" applyFill="1" applyBorder="1" applyAlignment="1">
      <alignment horizontal="center" vertical="center"/>
    </xf>
    <xf numFmtId="164" fontId="3" fillId="3" borderId="1" xfId="1" applyNumberFormat="1" applyFont="1" applyFill="1" applyBorder="1" applyAlignment="1">
      <alignment horizontal="center" vertical="center"/>
    </xf>
    <xf numFmtId="44" fontId="3" fillId="3" borderId="1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/>
    <xf numFmtId="164" fontId="6" fillId="5" borderId="1" xfId="1" applyNumberFormat="1" applyFont="1" applyFill="1" applyBorder="1"/>
    <xf numFmtId="164" fontId="5" fillId="5" borderId="1" xfId="1" applyNumberFormat="1" applyFont="1" applyFill="1" applyBorder="1" applyAlignment="1">
      <alignment horizontal="center" vertical="center"/>
    </xf>
    <xf numFmtId="164" fontId="3" fillId="3" borderId="1" xfId="1" applyNumberFormat="1" applyFont="1" applyFill="1" applyBorder="1" applyAlignment="1">
      <alignment horizontal="center" vertical="center" wrapText="1"/>
    </xf>
    <xf numFmtId="0" fontId="0" fillId="0" borderId="2" xfId="0" applyBorder="1"/>
    <xf numFmtId="164" fontId="3" fillId="3" borderId="3" xfId="1" applyNumberFormat="1" applyFont="1" applyFill="1" applyBorder="1" applyAlignment="1">
      <alignment horizontal="center" vertical="center"/>
    </xf>
    <xf numFmtId="164" fontId="6" fillId="5" borderId="3" xfId="1" applyNumberFormat="1" applyFont="1" applyFill="1" applyBorder="1"/>
    <xf numFmtId="0" fontId="8" fillId="6" borderId="1" xfId="0" applyFont="1" applyFill="1" applyBorder="1" applyAlignment="1">
      <alignment wrapText="1"/>
    </xf>
    <xf numFmtId="44" fontId="7" fillId="4" borderId="4" xfId="1" applyFont="1" applyFill="1" applyBorder="1" applyAlignment="1">
      <alignment horizontal="center"/>
    </xf>
    <xf numFmtId="44" fontId="7" fillId="4" borderId="5" xfId="1" applyFont="1" applyFill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0646E-AA0B-4667-B3DC-032168B69392}">
  <dimension ref="A1:H15"/>
  <sheetViews>
    <sheetView tabSelected="1" workbookViewId="0">
      <selection activeCell="D3" sqref="D3"/>
    </sheetView>
  </sheetViews>
  <sheetFormatPr defaultRowHeight="15" x14ac:dyDescent="0.2"/>
  <cols>
    <col min="1" max="1" width="43.58203125" bestFit="1" customWidth="1"/>
    <col min="2" max="2" width="14.390625" style="3" bestFit="1" customWidth="1"/>
    <col min="3" max="3" width="14.9296875" style="3" customWidth="1"/>
    <col min="4" max="4" width="6.45703125" customWidth="1"/>
    <col min="5" max="5" width="6.1875" customWidth="1"/>
    <col min="6" max="6" width="16.0078125" customWidth="1"/>
    <col min="7" max="7" width="15.19921875" style="3" bestFit="1" customWidth="1"/>
  </cols>
  <sheetData>
    <row r="1" spans="1:8" x14ac:dyDescent="0.2">
      <c r="A1" s="18" t="s">
        <v>3</v>
      </c>
      <c r="B1" s="19"/>
      <c r="C1" s="19"/>
      <c r="D1" s="19"/>
      <c r="E1" s="19"/>
      <c r="F1" s="19"/>
      <c r="G1" s="19"/>
      <c r="H1" s="19"/>
    </row>
    <row r="2" spans="1:8" ht="23.25" x14ac:dyDescent="0.2">
      <c r="A2" s="5" t="s">
        <v>4</v>
      </c>
      <c r="B2" s="6" t="s">
        <v>15</v>
      </c>
      <c r="C2" s="13" t="s">
        <v>16</v>
      </c>
      <c r="D2" s="7" t="s">
        <v>0</v>
      </c>
      <c r="E2" s="7" t="s">
        <v>2</v>
      </c>
      <c r="F2" s="6" t="s">
        <v>17</v>
      </c>
      <c r="G2" s="15" t="s">
        <v>1</v>
      </c>
      <c r="H2" s="15" t="s">
        <v>18</v>
      </c>
    </row>
    <row r="3" spans="1:8" x14ac:dyDescent="0.2">
      <c r="A3" s="8" t="s">
        <v>5</v>
      </c>
      <c r="B3" s="12">
        <v>12078</v>
      </c>
      <c r="C3" s="12">
        <v>12782</v>
      </c>
      <c r="D3" s="10"/>
      <c r="E3" s="10"/>
      <c r="F3" s="11">
        <f>D3*B3</f>
        <v>0</v>
      </c>
      <c r="G3" s="16">
        <f>D3*C3</f>
        <v>0</v>
      </c>
      <c r="H3" s="14"/>
    </row>
    <row r="4" spans="1:8" x14ac:dyDescent="0.2">
      <c r="A4" s="8" t="s">
        <v>6</v>
      </c>
      <c r="B4" s="12">
        <v>3093</v>
      </c>
      <c r="C4" s="12">
        <v>3291</v>
      </c>
      <c r="D4" s="10"/>
      <c r="E4" s="10"/>
      <c r="F4" s="11">
        <f t="shared" ref="F4:F14" si="0">D4*B4</f>
        <v>0</v>
      </c>
      <c r="G4" s="16">
        <f t="shared" ref="G4:G14" si="1">D4*C4</f>
        <v>0</v>
      </c>
      <c r="H4" s="14"/>
    </row>
    <row r="5" spans="1:8" x14ac:dyDescent="0.2">
      <c r="A5" s="8" t="s">
        <v>7</v>
      </c>
      <c r="B5" s="12">
        <v>12058</v>
      </c>
      <c r="C5" s="12">
        <v>12762</v>
      </c>
      <c r="D5" s="10"/>
      <c r="E5" s="10"/>
      <c r="F5" s="11">
        <f t="shared" si="0"/>
        <v>0</v>
      </c>
      <c r="G5" s="16">
        <f t="shared" si="1"/>
        <v>0</v>
      </c>
      <c r="H5" s="14"/>
    </row>
    <row r="6" spans="1:8" x14ac:dyDescent="0.2">
      <c r="A6" s="9" t="s">
        <v>8</v>
      </c>
      <c r="B6" s="12">
        <v>8250</v>
      </c>
      <c r="C6" s="12">
        <v>8778</v>
      </c>
      <c r="D6" s="10"/>
      <c r="E6" s="10"/>
      <c r="F6" s="11">
        <f t="shared" si="0"/>
        <v>0</v>
      </c>
      <c r="G6" s="16">
        <f t="shared" si="1"/>
        <v>0</v>
      </c>
      <c r="H6" s="14"/>
    </row>
    <row r="7" spans="1:8" x14ac:dyDescent="0.2">
      <c r="A7" s="8" t="s">
        <v>9</v>
      </c>
      <c r="B7" s="12">
        <v>4125</v>
      </c>
      <c r="C7" s="12">
        <v>4389</v>
      </c>
      <c r="D7" s="10"/>
      <c r="E7" s="10"/>
      <c r="F7" s="11">
        <f t="shared" si="0"/>
        <v>0</v>
      </c>
      <c r="G7" s="16">
        <f t="shared" si="1"/>
        <v>0</v>
      </c>
      <c r="H7" s="14"/>
    </row>
    <row r="8" spans="1:8" x14ac:dyDescent="0.2">
      <c r="A8" s="8" t="s">
        <v>10</v>
      </c>
      <c r="B8" s="12">
        <v>4125</v>
      </c>
      <c r="C8" s="12">
        <v>4389</v>
      </c>
      <c r="D8" s="10"/>
      <c r="E8" s="10"/>
      <c r="F8" s="11">
        <f t="shared" si="0"/>
        <v>0</v>
      </c>
      <c r="G8" s="16">
        <f t="shared" si="1"/>
        <v>0</v>
      </c>
      <c r="H8" s="14"/>
    </row>
    <row r="9" spans="1:8" x14ac:dyDescent="0.2">
      <c r="A9" s="8" t="s">
        <v>14</v>
      </c>
      <c r="B9" s="12">
        <v>6187</v>
      </c>
      <c r="C9" s="12">
        <v>6583</v>
      </c>
      <c r="D9" s="10"/>
      <c r="E9" s="10"/>
      <c r="F9" s="11">
        <f t="shared" si="0"/>
        <v>0</v>
      </c>
      <c r="G9" s="16">
        <f t="shared" si="1"/>
        <v>0</v>
      </c>
      <c r="H9" s="14"/>
    </row>
    <row r="10" spans="1:8" x14ac:dyDescent="0.2">
      <c r="A10" s="8" t="s">
        <v>11</v>
      </c>
      <c r="B10" s="12">
        <v>30967</v>
      </c>
      <c r="C10" s="12">
        <v>32825</v>
      </c>
      <c r="D10" s="10"/>
      <c r="E10" s="10"/>
      <c r="F10" s="11">
        <f t="shared" si="0"/>
        <v>0</v>
      </c>
      <c r="G10" s="16">
        <f t="shared" si="1"/>
        <v>0</v>
      </c>
      <c r="H10" s="14"/>
    </row>
    <row r="11" spans="1:8" x14ac:dyDescent="0.2">
      <c r="A11" s="17" t="s">
        <v>19</v>
      </c>
      <c r="B11" s="12">
        <v>8580</v>
      </c>
      <c r="C11" s="12">
        <v>9129</v>
      </c>
      <c r="D11" s="10"/>
      <c r="E11" s="10"/>
      <c r="F11" s="11">
        <f t="shared" si="0"/>
        <v>0</v>
      </c>
      <c r="G11" s="16">
        <f t="shared" si="1"/>
        <v>0</v>
      </c>
      <c r="H11" s="14"/>
    </row>
    <row r="12" spans="1:8" x14ac:dyDescent="0.2">
      <c r="A12" s="8" t="s">
        <v>20</v>
      </c>
      <c r="B12" s="12">
        <v>4125</v>
      </c>
      <c r="C12" s="12">
        <v>4389</v>
      </c>
      <c r="D12" s="10"/>
      <c r="E12" s="10"/>
      <c r="F12" s="11">
        <f t="shared" si="0"/>
        <v>0</v>
      </c>
      <c r="G12" s="16">
        <f t="shared" si="1"/>
        <v>0</v>
      </c>
      <c r="H12" s="14"/>
    </row>
    <row r="13" spans="1:8" x14ac:dyDescent="0.2">
      <c r="A13" s="8" t="s">
        <v>12</v>
      </c>
      <c r="B13" s="12">
        <v>6868</v>
      </c>
      <c r="C13" s="12">
        <v>7307</v>
      </c>
      <c r="D13" s="10"/>
      <c r="E13" s="10"/>
      <c r="F13" s="11">
        <f t="shared" si="0"/>
        <v>0</v>
      </c>
      <c r="G13" s="16">
        <f t="shared" si="1"/>
        <v>0</v>
      </c>
      <c r="H13" s="14"/>
    </row>
    <row r="14" spans="1:8" x14ac:dyDescent="0.2">
      <c r="A14" s="8" t="s">
        <v>13</v>
      </c>
      <c r="B14" s="12">
        <v>4125</v>
      </c>
      <c r="C14" s="12">
        <v>4389</v>
      </c>
      <c r="D14" s="10"/>
      <c r="E14" s="10"/>
      <c r="F14" s="11">
        <f t="shared" si="0"/>
        <v>0</v>
      </c>
      <c r="G14" s="16">
        <f t="shared" si="1"/>
        <v>0</v>
      </c>
      <c r="H14" s="14"/>
    </row>
    <row r="15" spans="1:8" x14ac:dyDescent="0.2">
      <c r="A15" s="1"/>
      <c r="B15" s="2"/>
      <c r="C15" s="2"/>
      <c r="D15" s="1"/>
      <c r="E15" s="1"/>
      <c r="F15" s="4">
        <f>SUM(F3:F14)</f>
        <v>0</v>
      </c>
      <c r="G15" s="4">
        <f>SUM(G3:G14)</f>
        <v>0</v>
      </c>
    </row>
  </sheetData>
  <sortState xmlns:xlrd2="http://schemas.microsoft.com/office/spreadsheetml/2017/richdata2" ref="A3:G15">
    <sortCondition ref="A3"/>
  </sortState>
  <mergeCells count="1">
    <mergeCell ref="A1:H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Maher</dc:creator>
  <cp:lastModifiedBy>Lenovo</cp:lastModifiedBy>
  <dcterms:created xsi:type="dcterms:W3CDTF">2021-01-11T09:27:31Z</dcterms:created>
  <dcterms:modified xsi:type="dcterms:W3CDTF">2025-07-24T12:33:56Z</dcterms:modified>
</cp:coreProperties>
</file>